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1. Site &amp; Decision Context" sheetId="2" state="visible" r:id="rId4"/>
    <sheet name="2. Method &amp; Outcome" sheetId="3" state="visible" r:id="rId5"/>
    <sheet name="3. Borehole Ground Trut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A short label you'll use to refer to this site in the paper.</t>
        </r>
      </text>
    </comment>
    <comment ref="A4" authorId="0">
      <text>
        <r>
          <rPr>
            <sz val="10"/>
            <rFont val="Arial"/>
            <family val="2"/>
          </rPr>
          <t xml:space="preserve">Geographic location.</t>
        </r>
      </text>
    </comment>
    <comment ref="A5" authorId="0">
      <text>
        <r>
          <rPr>
            <sz val="10"/>
            <rFont val="Arial"/>
            <family val="2"/>
          </rPr>
          <t xml:space="preserve">e.g. 'locate freshwater aquifer for a production well'.</t>
        </r>
      </text>
    </comment>
    <comment ref="A6" authorId="0">
      <text>
        <r>
          <rPr>
            <sz val="10"/>
            <rFont val="Arial"/>
            <family val="2"/>
          </rPr>
          <t xml:space="preserve">Pick from the dropdown. Drives the contrast matrix column the tool uses.</t>
        </r>
      </text>
    </comment>
    <comment ref="A7" authorId="0">
      <text>
        <r>
          <rPr>
            <sz val="10"/>
            <rFont val="Arial"/>
            <family val="2"/>
          </rPr>
          <t xml:space="preserve">Depth a practitioner would have EXPECTED before the survey, from geology/prior work. e.g. '30-100'.</t>
        </r>
      </text>
    </comment>
    <comment ref="A8" authorId="0">
      <text>
        <r>
          <rPr>
            <sz val="10"/>
            <rFont val="Arial"/>
            <family val="2"/>
          </rPr>
          <t xml:space="preserve">Pick from dropdown. The EXPECTED setting (resistive/moderate/conductive) known a priori — not the measured result.</t>
        </r>
      </text>
    </comment>
    <comment ref="A9" authorId="0">
      <text>
        <r>
          <rPr>
            <sz val="10"/>
            <rFont val="Arial"/>
            <family val="2"/>
          </rPr>
          <t xml:space="preserve">Why you expected that setting: geology, lithology maps, prior surveys, regional knowledge.</t>
        </r>
      </text>
    </comment>
    <comment ref="A10" authorId="0">
      <text>
        <r>
          <rPr>
            <sz val="10"/>
            <rFont val="Arial"/>
            <family val="2"/>
          </rPr>
          <t xml:space="preserve">rural / urban / industrial. Add approx % if you have it.</t>
        </r>
      </text>
    </comment>
    <comment ref="A11" authorId="0">
      <text>
        <r>
          <rPr>
            <sz val="10"/>
            <rFont val="Arial"/>
            <family val="2"/>
          </rPr>
          <t xml:space="preserve">Pick from dropdown: low / moderate / high.</t>
        </r>
      </text>
    </comment>
    <comment ref="A12" authorId="0">
      <text>
        <r>
          <rPr>
            <sz val="10"/>
            <rFont val="Arial"/>
            <family val="2"/>
          </rPr>
          <t xml:space="preserve">low / moderate / high, or an approximate figure if known.</t>
        </r>
      </text>
    </comment>
    <comment ref="A13" authorId="0">
      <text>
        <r>
          <rPr>
            <sz val="10"/>
            <rFont val="Arial"/>
            <family val="2"/>
          </rPr>
          <t xml:space="preserve">low / moderate / high, or approximate days.</t>
        </r>
      </text>
    </comment>
    <comment ref="A14" authorId="0">
      <text>
        <r>
          <rPr>
            <sz val="10"/>
            <rFont val="Arial"/>
            <family val="2"/>
          </rPr>
          <t xml:space="preserve">e.g. paved/urban access, terrain, permissions. Free text; leave blank if none.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The single method actually deployed. Pick from dropdown.</t>
        </r>
      </text>
    </comment>
    <comment ref="A4" authorId="0">
      <text>
        <r>
          <rPr>
            <sz val="10"/>
            <rFont val="Arial"/>
            <family val="2"/>
          </rPr>
          <t xml:space="preserve">e.g. Wenner, Schlumberger, dipole-dipole; TDEM loop size/geometry.</t>
        </r>
      </text>
    </comment>
    <comment ref="A5" authorId="0">
      <text>
        <r>
          <rPr>
            <sz val="10"/>
            <rFont val="Arial"/>
            <family val="2"/>
          </rPr>
          <t xml:space="preserve">Why this method was selected at the time. Free text.</t>
        </r>
      </text>
    </comment>
    <comment ref="A6" authorId="0">
      <text>
        <r>
          <rPr>
            <sz val="10"/>
            <rFont val="Arial"/>
            <family val="2"/>
          </rPr>
          <t xml:space="preserve">Pick: yes / partly / no.</t>
        </r>
      </text>
    </comment>
    <comment ref="A7" authorId="0">
      <text>
        <r>
          <rPr>
            <sz val="10"/>
            <rFont val="Arial"/>
            <family val="2"/>
          </rPr>
          <t xml:space="preserve">e.g. 'mapped the freshwater-saltwater interface at ~40 m'.</t>
        </r>
      </text>
    </comment>
    <comment ref="A8" authorId="0">
      <text>
        <r>
          <rPr>
            <sz val="10"/>
            <rFont val="Arial"/>
            <family val="2"/>
          </rPr>
          <t xml:space="preserve">If published, give DOI or citation. If your own unpublished data, write 'unpublished'.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How many boreholes provide control at this site.</t>
        </r>
      </text>
    </comment>
    <comment ref="A4" authorId="0">
      <text>
        <r>
          <rPr>
            <sz val="10"/>
            <rFont val="Arial"/>
            <family val="2"/>
          </rPr>
          <t xml:space="preserve">Brief layered description, e.g. 'sand 0-15 m / clay 15-25 m / fractured limestone 25-60 m'.</t>
        </r>
      </text>
    </comment>
    <comment ref="A5" authorId="0">
      <text>
        <r>
          <rPr>
            <sz val="10"/>
            <rFont val="Arial"/>
            <family val="2"/>
          </rPr>
          <t xml:space="preserve">Measured static water level.</t>
        </r>
      </text>
    </comment>
    <comment ref="A6" authorId="0">
      <text>
        <r>
          <rPr>
            <sz val="10"/>
            <rFont val="Arial"/>
            <family val="2"/>
          </rPr>
          <t xml:space="preserve">unconfined / confined; porous / fractured.</t>
        </r>
      </text>
    </comment>
    <comment ref="A7" authorId="0">
      <text>
        <r>
          <rPr>
            <sz val="10"/>
            <rFont val="Arial"/>
            <family val="2"/>
          </rPr>
          <t xml:space="preserve">e.g. EC/TDS, Cl- concentration, dominant water type (Na-Cl, Ca-HCO3 ...).</t>
        </r>
      </text>
    </comment>
    <comment ref="A8" authorId="0">
      <text>
        <r>
          <rPr>
            <sz val="10"/>
            <rFont val="Arial"/>
            <family val="2"/>
          </rPr>
          <t xml:space="preserve">Pick: fresh / brackish / saline / contaminated.</t>
        </r>
      </text>
    </comment>
    <comment ref="A9" authorId="0">
      <text>
        <r>
          <rPr>
            <sz val="10"/>
            <rFont val="Arial"/>
            <family val="2"/>
          </rPr>
          <t xml:space="preserve">THE KEY LINK. Did the borehole/hydrochemistry confirm the Sheet-1 expected setting? e.g. 'yes — TDS 18,000 mg/L confirms highly conductive saline zone, matching the conductive expectation that ranked TDEM/ERT first.'</t>
        </r>
      </text>
    </comment>
  </commentList>
</comments>
</file>

<file path=xl/sharedStrings.xml><?xml version="1.0" encoding="utf-8"?>
<sst xmlns="http://schemas.openxmlformats.org/spreadsheetml/2006/main" count="133" uniqueCount="113">
  <si>
    <t xml:space="preserve">  GeoMethod Selector — Case-Study Intake Form</t>
  </si>
  <si>
    <t xml:space="preserve">How to use this workbook</t>
  </si>
  <si>
    <t xml:space="preserve">Fill the three coloured sheets, one column per site. Blue cells are the ones to complete.</t>
  </si>
  <si>
    <t xml:space="preserve">Leave any cell BLANK if the information is unavailable — do not estimate. Gaps are noted as limitations.</t>
  </si>
  <si>
    <t xml:space="preserve">The three sheets capture three different things, and keeping them separate is important:</t>
  </si>
  <si>
    <t xml:space="preserve">   1. Site &amp; Decision Context</t>
  </si>
  <si>
    <t xml:space="preserve">ONLY what was known BEFORE the survey (geology, setting, prior studies). These become the tool's inputs.</t>
  </si>
  <si>
    <t xml:space="preserve">   2. Method &amp; Outcome</t>
  </si>
  <si>
    <t xml:space="preserve">Which single method was actually deployed at the site, and whether it succeeded.</t>
  </si>
  <si>
    <t xml:space="preserve">   3. Borehole Ground Truth</t>
  </si>
  <si>
    <t xml:space="preserve">What the boreholes/hydrochemistry revealed AFTER — used to confirm the tool's physical rationale.</t>
  </si>
  <si>
    <t xml:space="preserve">Key principle (this is what makes the paper defensible):</t>
  </si>
  <si>
    <t xml:space="preserve">   • Sheet 1 records the EXPECTED conductivity/depth a practitioner would assume up front.</t>
  </si>
  <si>
    <t xml:space="preserve">   • Sheet 3 records what the ground truth CONFIRMS (e.g. the saline zone really is highly conductive).</t>
  </si>
  <si>
    <t xml:space="preserve">   • The last row of Sheet 3 links the two: did the ground truth confirm the assumed contrast?</t>
  </si>
  <si>
    <t xml:space="preserve">Dropdown menus are provided on constrained fields (target class, conductivity, method, yes/partly/no)</t>
  </si>
  <si>
    <t xml:space="preserve">to keep entries consistent with what the software expects. Free-text fields accept anything.</t>
  </si>
  <si>
    <t xml:space="preserve">When done, save and send the file back. It drops straight into the Python pipeline.</t>
  </si>
  <si>
    <t xml:space="preserve">  1. Site &amp; Decision Context</t>
  </si>
  <si>
    <t xml:space="preserve">Field</t>
  </si>
  <si>
    <t xml:space="preserve">Site 1 — Seawater intrusion (ERT)</t>
  </si>
  <si>
    <t xml:space="preserve">Site 2 — Seawater intrusion TDEM</t>
  </si>
  <si>
    <t xml:space="preserve">Site 3 — Landfill impact</t>
  </si>
  <si>
    <t xml:space="preserve">Site ID / short name</t>
  </si>
  <si>
    <t xml:space="preserve">Jizan (Tihama) coastal aquifer — ERT (Maeshi et al., JKSUS_729_2026)</t>
  </si>
  <si>
    <t xml:space="preserve">Jazan coastal aquifer (Qaysi et al. 2022)</t>
  </si>
  <si>
    <t xml:space="preserve">SE-Riyadh Landfill (Badhrais thesis)</t>
  </si>
  <si>
    <t xml:space="preserve">Country, region</t>
  </si>
  <si>
    <t xml:space="preserve">Saudi Arabia — Jizan/Tihama coastal plain, Red Sea (SW)</t>
  </si>
  <si>
    <t xml:space="preserve">Saudi Arabia — southern Jazan, Red Sea coastal plain</t>
  </si>
  <si>
    <t xml:space="preserve">Saudi Arabia — southeast Riyadh</t>
  </si>
  <si>
    <t xml:space="preserve">Investigation objective (one line)</t>
  </si>
  <si>
    <t xml:space="preserve">Characterize seawater intrusion and delineate saline zones / freshwater–saltwater transition in the coastal aquifer</t>
  </si>
  <si>
    <t xml:space="preserve">Characterize coastal aquifer and assess seawater intrusion / groundwater quality</t>
  </si>
  <si>
    <t xml:space="preserve">Assess MSW landfill effect on groundwater salinity/quality</t>
  </si>
  <si>
    <t xml:space="preserve">Target class</t>
  </si>
  <si>
    <t xml:space="preserve">seawater intrusion</t>
  </si>
  <si>
    <t xml:space="preserve">landfill leachate</t>
  </si>
  <si>
    <t xml:space="preserve">Expected target depth range (m)</t>
  </si>
  <si>
    <t xml:space="preserve">Shallow coastal aquifer; water table ~2–48 m regionally; aquifer up to ~50 m thick; imaging designed to ~60–70 m</t>
  </si>
  <si>
    <t xml:space="preserve">Shallow coastal aquifer; water table ~9–31 m; aquifer thickness ~18–50 m</t>
  </si>
  <si>
    <t xml:space="preserve">~10–80 m (shallow saturated zone to deeper fractured-limestone aquifer)</t>
  </si>
  <si>
    <t xml:space="preserve">Expected ground-conductivity setting</t>
  </si>
  <si>
    <t xml:space="preserve">conductive</t>
  </si>
  <si>
    <t xml:space="preserve">Basis for that conductivity expectation</t>
  </si>
  <si>
    <t xml:space="preserve">Red Sea coastal plain with saline pore water + sabkha/evaporite (gypsum, anhydrite); strong contrast between conductive saline-saturated sediments and resistive dry alluvium/basement; nearby intrusion confirmed at Ad-Darb (Alfaifi et al. 2019)</t>
  </si>
  <si>
    <t xml:space="preserve">Coastal Red Sea plain with known salinity/sabkha; saline intrusion expected → strongly conductive (low-resistivity) target</t>
  </si>
  <si>
    <t xml:space="preserve">Expected salinity/contamination in arid alluvium over fractured limestone; conductive (low-resistivity) target anticipated</t>
  </si>
  <si>
    <t xml:space="preserve">Ambient noise setting</t>
  </si>
  <si>
    <t xml:space="preserve">rural</t>
  </si>
  <si>
    <t xml:space="preserve">industrial</t>
  </si>
  <si>
    <t xml:space="preserve">Required resolution</t>
  </si>
  <si>
    <t xml:space="preserve">high</t>
  </si>
  <si>
    <t xml:space="preserve">moderate</t>
  </si>
  <si>
    <t xml:space="preserve">Budget constraint (level or approx. USD)</t>
  </si>
  <si>
    <t xml:space="preserve">low</t>
  </si>
  <si>
    <t xml:space="preserve">Time / schedule constraint (level or days)</t>
  </si>
  <si>
    <t xml:space="preserve">Site-access or logistical constraints</t>
  </si>
  <si>
    <t xml:space="preserve">Flat coastal sabkha/mudflat &amp; agricultural plain; sparse well distribution (a-priori rationale for geophysics); profiles run perpendicular to coast</t>
  </si>
  <si>
    <t xml:space="preserve">Open coastal/agricultural plain (~900 km²); power-line noise avoided in station siting</t>
  </si>
  <si>
    <t xml:space="preserve">limited access</t>
  </si>
  <si>
    <t xml:space="preserve">  2. Method &amp; Outcome</t>
  </si>
  <si>
    <t xml:space="preserve">Geophysical method used</t>
  </si>
  <si>
    <t xml:space="preserve">ERT</t>
  </si>
  <si>
    <t xml:space="preserve">TDEM</t>
  </si>
  <si>
    <t xml:space="preserve">VES</t>
  </si>
  <si>
    <t xml:space="preserve">Array / configuration</t>
  </si>
  <si>
    <t xml:space="preserve">2-D ERT, dipole-dipole; Syscal Pro (IRIS, 72-electrode cable); 5 m spacing; 360 m profiles; 11 profiles; 10 levels; ~400 pts/profile; Res2DInv robust L1 inversion (λ=0.1); investigation depth ~60–70 m</t>
  </si>
  <si>
    <t xml:space="preserve">Central-loop TDEM; Zonge NT-20/GDP-32II; 40 m square Tx loop, 100 m² Rx coil, ~4 A, 3 µs turn-off; 76 soundings → four 2-D NE–SW profiles; ZondTem1D inversion (RMS 2–6.8%)</t>
  </si>
  <si>
    <t xml:space="preserve">Schlumberger array; SYSCAL-class meter; 1-D VES assembled into five 2-D profiles (Profiles 1–5)</t>
  </si>
  <si>
    <t xml:space="preserve">Brief reason it was chosen (if known)</t>
  </si>
  <si>
    <t xml:space="preserve">Dipole-dipole ERT for high lateral resolution of sharp saline/lithological contrasts; non-invasive, large-scale, cost-effective complement to hydrochemistry where wells are sparse; exploits saline-vs-dry resistivity contrast</t>
  </si>
  <si>
    <t xml:space="preserve">TDEM sensitive to low-resistivity (conductive) zones; compact setup, low lateral-change sensitivity and high S/N vs VES; non-invasive/rapid vs drilling</t>
  </si>
  <si>
    <t xml:space="preserve">reconnaissance, cost, equipment availability</t>
  </si>
  <si>
    <t xml:space="preserve">Did it achieve the objective?</t>
  </si>
  <si>
    <t xml:space="preserve">yes</t>
  </si>
  <si>
    <t xml:space="preserve">partly</t>
  </si>
  <si>
    <t xml:space="preserve">One-line outcome (what it resolved)</t>
  </si>
  <si>
    <t xml:space="preserve">Mapped a 3-layer aquifer and delineated low-resistivity saline zones (&lt;5–15 Ω·m) at coast/sabkha with preferential intrusion along wadi channels; resistivity inversely tracks TDS</t>
  </si>
  <si>
    <t xml:space="preserve">Mapped 3-layer aquifer (dry alluvium / water-bearing sand-gravel 5–75 Ω·m / basement &gt;800 Ω·m); delineated seawater intrusion (&lt;2 Ω·m) advancing ~3 km inland</t>
  </si>
  <si>
    <t xml:space="preserve">Mapped saturated fractured-limestone zones and a regional NW→SE low-resistivity (rising-salinity) trend; salinity attributed mainly to industrial/agricultural+geogenic sources, not direct leachate</t>
  </si>
  <si>
    <t xml:space="preserve">Published? (DOI / reference) or unpublished</t>
  </si>
  <si>
    <t xml:space="preserve">In review — Maeshi, Elwaheidi, Zaidi &amp; Qaysi, JKSUS_729_2026, J. King Saud Univ. – Science (R1 resubmission; no DOI yet)</t>
  </si>
  <si>
    <t xml:space="preserve">Published — Qaysi, Alharbi &amp; Elwaheidi (2022), Human &amp; Ecological Risk Assessment, DOI 10.1080/10807039.2022.2104693</t>
  </si>
  <si>
    <t xml:space="preserve">Unpublished MSc thesis — Omar M. O. Badhrais (KSU); supervisors Elwaheidi &amp; Alshehri</t>
  </si>
  <si>
    <t xml:space="preserve">  3. Borehole Ground Truth</t>
  </si>
  <si>
    <t xml:space="preserve">Number of boreholes</t>
  </si>
  <si>
    <t xml:space="preserve">19 groundwater wells (hydrochemistry + water level); resistivity calibrated to nearby borehole lithology logs</t>
  </si>
  <si>
    <t xml:space="preserve">6 groundwater wells (TDS/EC/water-table); plus lithological logs used to constrain inversion</t>
  </si>
  <si>
    <t xml:space="preserve">~12–13 groundwater wells (W1–W13)</t>
  </si>
  <si>
    <t xml:space="preserve">Lithological summary (top-to-bottom, brief)</t>
  </si>
  <si>
    <t xml:space="preserve">Dry Quaternary alluvium (&gt;200 Ω·m, 9–30 m) / water-bearing sand &amp; silt aquifer (5–75 Ω·m, up to ~50 m) / cemented sand-gravel &amp; sandstone basement (&gt;200 Ω·m); coastal sabkha = clay-silt with gypsum &amp; anhydrite</t>
  </si>
  <si>
    <t xml:space="preserve">Dry alluvium (&gt;400 Ω·m, 9–30 m) / water-bearing sand &amp; gravel (5–75 Ω·m) / Proterozoic basement (&gt;800 Ω·m)</t>
  </si>
  <si>
    <t xml:space="preserve">Alluvial cover over saturated fractured limestone; Arab Formation at depth (W10)</t>
  </si>
  <si>
    <t xml:space="preserve">Depth to water table (m)</t>
  </si>
  <si>
    <t xml:space="preserve">2.2–48.4 m (boreholes); ~10–20 m inferred from ERT</t>
  </si>
  <si>
    <t xml:space="preserve">9–31 m at wells (J002 9 m … FR-33 31 m); water-table elevation rises NE to ~90–100 m msl</t>
  </si>
  <si>
    <t xml:space="preserve">Surface–15 m (Profile 1, shallow) to 52–65 m (Profile 2); ~80 m at W10</t>
  </si>
  <si>
    <t xml:space="preserve">Aquifer type</t>
  </si>
  <si>
    <t xml:space="preserve">Unconfined alluvial, porous (sand/silt/gravel); fracture- &amp; wadi-channel-controlled preferential pathways (NW–SE faults)</t>
  </si>
  <si>
    <t xml:space="preserve">Unconfined alluvial (sand/gravel) coastal aquifer</t>
  </si>
  <si>
    <t xml:space="preserve">Unconfined; fractured-limestone (porous/fractured) shallow aquifer</t>
  </si>
  <si>
    <t xml:space="preserve">Hydrochemistry — key indicators</t>
  </si>
  <si>
    <t xml:space="preserve">TDS 291–7,820 mg/L; EC 609–12,830 µS/cm; Cl⁻ up to 3,593 mg/L; SO₄²⁻ up to 1,622; NO₃⁻ up to 379 (8/19 &gt; WHO 50). Dominant sulfate–chloride facies (Type E, 84%); Cl⁻/HCO₃⁻ up to 53; Na⁺/Cl⁻ &lt;1 in saline samples; CAI → reverse ion exchange</t>
  </si>
  <si>
    <t xml:space="preserve">TDS 743–2746 mg/L; EC 1161–3910 µS/cm (6 wells). Coastal aquifer resistivity &lt;5 Ω·m (coast) to 20–100 Ω·m inland; intrusion indicated by &lt;2 Ω·m</t>
  </si>
  <si>
    <t xml:space="preserve">TDS: 5 wells slightly saline, 7 moderately saline (none fresh). EC: 75% C4 'very high salinity'. Cl⁻ &amp; SO₄ exceed WHO in most wells; Pb/Cr/Ni exceedances upstream (industrial)</t>
  </si>
  <si>
    <t xml:space="preserve">Groundwater status implied</t>
  </si>
  <si>
    <t xml:space="preserve">saline</t>
  </si>
  <si>
    <t xml:space="preserve">brackish</t>
  </si>
  <si>
    <t xml:space="preserve">Does ground truth confirm the assumed conductivity contrast? (yes/no + note)</t>
  </si>
  <si>
    <t xml:space="preserve">YES — lowest resistivities consistently coincide with the highest TDS/Cl⁻/EC across the 19 wells; the inverse resistivity–salinity relation (Archie's law) confirms the conductive saline setting assumed a priori, and ERT water-table depths (10–20 m) match boreholes (2.2–48.4 m). Authors note n=19 and inversion smoothing make this a qualitative consistency check, not a formal statistic</t>
  </si>
  <si>
    <t xml:space="preserve">YES — well TDS (up to 2746 mg/L) and EC (up to 3910 µS/cm) plus aquifer resistivity &lt;2 Ω·m at the coast independently confirm the conductive saline conditions TDEM was selected to detect; intrusion mapped ~3 km inland. Strong, quantitative forward-consistency.</t>
  </si>
  <si>
    <t xml:space="preserve">YES — TDS (slightly–moderately saline) and EC (75% very-high-salinity C4) independently confirm the conductive/low-resistivity conditions the resistivity method was chosen to detect, matching the downgradient low-resistivity trend. (Note: salinity attributed mainly to industrial/agricultural+geogenic sources, not direct landfill leachate.)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</si>
</sst>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F3A5F"/>
      <name val="Cambria"/>
      <family val="0"/>
      <charset val="1"/>
    </font>
    <font>
      <sz val="10"/>
      <color rgb="FF444444"/>
      <name val="Cambria"/>
      <family val="0"/>
      <charset val="1"/>
    </font>
    <font>
      <sz val="10"/>
      <color rgb="FF222222"/>
      <name val="Cambria"/>
      <family val="0"/>
      <charset val="1"/>
    </font>
    <font>
      <sz val="10"/>
      <color rgb="FF333333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22222"/>
      <name val="Calibri"/>
      <family val="0"/>
      <charset val="1"/>
    </font>
    <font>
      <sz val="10"/>
      <color rgb="FF0B6B2F"/>
      <name val="Calibri"/>
      <family val="0"/>
      <charset val="1"/>
    </font>
    <font>
      <sz val="10"/>
      <color rgb="FF0000CC"/>
      <name val="Calibri"/>
      <family val="0"/>
      <charset val="1"/>
    </font>
    <font>
      <sz val="10"/>
      <color rgb="FF333333"/>
      <name val="Calibri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7D74"/>
        <bgColor rgb="FF008080"/>
      </patternFill>
    </fill>
    <fill>
      <patternFill patternType="solid">
        <fgColor rgb="FFEAF1F7"/>
        <bgColor rgb="FFFFF7DC"/>
      </patternFill>
    </fill>
    <fill>
      <patternFill patternType="solid">
        <fgColor rgb="FFFFFFFF"/>
        <bgColor rgb="FFFFF7DC"/>
      </patternFill>
    </fill>
    <fill>
      <patternFill patternType="solid">
        <fgColor rgb="FFFFF7DC"/>
        <bgColor rgb="FFFFFFFF"/>
      </patternFill>
    </fill>
    <fill>
      <patternFill patternType="solid">
        <fgColor rgb="FFFFE0E0"/>
        <bgColor rgb="FFFFF7DC"/>
      </patternFill>
    </fill>
    <fill>
      <patternFill patternType="solid">
        <fgColor rgb="FFB07A2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B6B2F"/>
      <rgbColor rgb="FF000080"/>
      <rgbColor rgb="FFB07A20"/>
      <rgbColor rgb="FF800080"/>
      <rgbColor rgb="FF008080"/>
      <rgbColor rgb="FFBBBBBB"/>
      <rgbColor rgb="FF808080"/>
      <rgbColor rgb="FF9999FF"/>
      <rgbColor rgb="FF993366"/>
      <rgbColor rgb="FFFFF7DC"/>
      <rgbColor rgb="FFEAF1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2E7D74"/>
      <rgbColor rgb="FF003300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0"/>
    <col collapsed="false" customWidth="true" hidden="false" outlineLevel="0" max="4" min="3" style="0" width="2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true" outlineLevel="0" collapsed="false">
      <c r="A3" s="2" t="s">
        <v>1</v>
      </c>
      <c r="B3" s="3"/>
    </row>
    <row r="4" customFormat="false" ht="15" hidden="false" customHeight="true" outlineLevel="0" collapsed="false">
      <c r="A4" s="4"/>
      <c r="B4" s="3"/>
    </row>
    <row r="5" customFormat="false" ht="15" hidden="false" customHeight="true" outlineLevel="0" collapsed="false">
      <c r="A5" s="2" t="s">
        <v>2</v>
      </c>
      <c r="B5" s="3"/>
    </row>
    <row r="6" customFormat="false" ht="15" hidden="false" customHeight="true" outlineLevel="0" collapsed="false">
      <c r="A6" s="2" t="s">
        <v>3</v>
      </c>
      <c r="B6" s="3"/>
    </row>
    <row r="7" customFormat="false" ht="15" hidden="false" customHeight="true" outlineLevel="0" collapsed="false">
      <c r="A7" s="4"/>
      <c r="B7" s="3"/>
    </row>
    <row r="8" customFormat="false" ht="15" hidden="false" customHeight="true" outlineLevel="0" collapsed="false">
      <c r="A8" s="2" t="s">
        <v>4</v>
      </c>
      <c r="B8" s="3"/>
    </row>
    <row r="9" customFormat="false" ht="23.25" hidden="false" customHeight="true" outlineLevel="0" collapsed="false">
      <c r="A9" s="5" t="s">
        <v>5</v>
      </c>
      <c r="B9" s="3" t="s">
        <v>6</v>
      </c>
    </row>
    <row r="10" customFormat="false" ht="15" hidden="false" customHeight="true" outlineLevel="0" collapsed="false">
      <c r="A10" s="5" t="s">
        <v>7</v>
      </c>
      <c r="B10" s="3" t="s">
        <v>8</v>
      </c>
    </row>
    <row r="11" customFormat="false" ht="23.25" hidden="false" customHeight="true" outlineLevel="0" collapsed="false">
      <c r="A11" s="5" t="s">
        <v>9</v>
      </c>
      <c r="B11" s="3" t="s">
        <v>10</v>
      </c>
    </row>
    <row r="12" customFormat="false" ht="15" hidden="false" customHeight="true" outlineLevel="0" collapsed="false">
      <c r="A12" s="4"/>
      <c r="B12" s="3"/>
    </row>
    <row r="13" customFormat="false" ht="15" hidden="false" customHeight="true" outlineLevel="0" collapsed="false">
      <c r="A13" s="2" t="s">
        <v>11</v>
      </c>
      <c r="B13" s="3"/>
    </row>
    <row r="14" customFormat="false" ht="15" hidden="false" customHeight="true" outlineLevel="0" collapsed="false">
      <c r="A14" s="5" t="s">
        <v>12</v>
      </c>
      <c r="B14" s="3"/>
    </row>
    <row r="15" customFormat="false" ht="15" hidden="false" customHeight="true" outlineLevel="0" collapsed="false">
      <c r="A15" s="5" t="s">
        <v>13</v>
      </c>
      <c r="B15" s="3"/>
    </row>
    <row r="16" customFormat="false" ht="15" hidden="false" customHeight="true" outlineLevel="0" collapsed="false">
      <c r="A16" s="5" t="s">
        <v>14</v>
      </c>
      <c r="B16" s="3"/>
    </row>
    <row r="17" customFormat="false" ht="15" hidden="false" customHeight="true" outlineLevel="0" collapsed="false">
      <c r="A17" s="4"/>
      <c r="B17" s="3"/>
    </row>
    <row r="18" customFormat="false" ht="15" hidden="false" customHeight="true" outlineLevel="0" collapsed="false">
      <c r="A18" s="2" t="s">
        <v>15</v>
      </c>
      <c r="B18" s="3"/>
    </row>
    <row r="19" customFormat="false" ht="15" hidden="false" customHeight="true" outlineLevel="0" collapsed="false">
      <c r="A19" s="2" t="s">
        <v>16</v>
      </c>
      <c r="B19" s="3"/>
    </row>
    <row r="20" customFormat="false" ht="15" hidden="false" customHeight="true" outlineLevel="0" collapsed="false">
      <c r="A20" s="4"/>
      <c r="B20" s="3"/>
    </row>
    <row r="21" customFormat="false" ht="15" hidden="false" customHeight="true" outlineLevel="0" collapsed="false">
      <c r="A21" s="2" t="s">
        <v>17</v>
      </c>
      <c r="B21" s="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C5" activeCellId="0" sqref="C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34"/>
  </cols>
  <sheetData>
    <row r="1" customFormat="false" ht="25.5" hidden="false" customHeight="true" outlineLevel="0" collapsed="false">
      <c r="A1" s="6" t="s">
        <v>18</v>
      </c>
      <c r="B1" s="6"/>
      <c r="C1" s="6"/>
      <c r="D1" s="6"/>
    </row>
    <row r="2" customFormat="false" ht="30" hidden="false" customHeight="true" outlineLevel="0" collapsed="false">
      <c r="A2" s="7" t="s">
        <v>19</v>
      </c>
      <c r="B2" s="7" t="s">
        <v>20</v>
      </c>
      <c r="C2" s="7" t="s">
        <v>21</v>
      </c>
      <c r="D2" s="7" t="s">
        <v>22</v>
      </c>
    </row>
    <row r="3" customFormat="false" ht="30" hidden="false" customHeight="true" outlineLevel="0" collapsed="false">
      <c r="A3" s="8" t="s">
        <v>23</v>
      </c>
      <c r="B3" s="9" t="s">
        <v>24</v>
      </c>
      <c r="C3" s="9" t="s">
        <v>25</v>
      </c>
      <c r="D3" s="9" t="s">
        <v>26</v>
      </c>
    </row>
    <row r="4" customFormat="false" ht="30" hidden="false" customHeight="true" outlineLevel="0" collapsed="false">
      <c r="A4" s="8" t="s">
        <v>27</v>
      </c>
      <c r="B4" s="9" t="s">
        <v>28</v>
      </c>
      <c r="C4" s="9" t="s">
        <v>29</v>
      </c>
      <c r="D4" s="9" t="s">
        <v>30</v>
      </c>
    </row>
    <row r="5" customFormat="false" ht="30" hidden="false" customHeight="true" outlineLevel="0" collapsed="false">
      <c r="A5" s="8" t="s">
        <v>31</v>
      </c>
      <c r="B5" s="9" t="s">
        <v>32</v>
      </c>
      <c r="C5" s="9" t="s">
        <v>33</v>
      </c>
      <c r="D5" s="9" t="s">
        <v>34</v>
      </c>
    </row>
    <row r="6" customFormat="false" ht="30" hidden="false" customHeight="true" outlineLevel="0" collapsed="false">
      <c r="A6" s="8" t="s">
        <v>35</v>
      </c>
      <c r="B6" s="10" t="s">
        <v>36</v>
      </c>
      <c r="C6" s="10" t="s">
        <v>36</v>
      </c>
      <c r="D6" s="10" t="s">
        <v>37</v>
      </c>
    </row>
    <row r="7" customFormat="false" ht="30" hidden="false" customHeight="true" outlineLevel="0" collapsed="false">
      <c r="A7" s="8" t="s">
        <v>38</v>
      </c>
      <c r="B7" s="9" t="s">
        <v>39</v>
      </c>
      <c r="C7" s="10" t="s">
        <v>40</v>
      </c>
      <c r="D7" s="10" t="s">
        <v>41</v>
      </c>
    </row>
    <row r="8" customFormat="false" ht="30" hidden="false" customHeight="true" outlineLevel="0" collapsed="false">
      <c r="A8" s="8" t="s">
        <v>42</v>
      </c>
      <c r="B8" s="10" t="s">
        <v>43</v>
      </c>
      <c r="C8" s="10" t="s">
        <v>43</v>
      </c>
      <c r="D8" s="10" t="s">
        <v>43</v>
      </c>
    </row>
    <row r="9" customFormat="false" ht="30" hidden="false" customHeight="true" outlineLevel="0" collapsed="false">
      <c r="A9" s="8" t="s">
        <v>44</v>
      </c>
      <c r="B9" s="9" t="s">
        <v>45</v>
      </c>
      <c r="C9" s="9" t="s">
        <v>46</v>
      </c>
      <c r="D9" s="9" t="s">
        <v>47</v>
      </c>
    </row>
    <row r="10" customFormat="false" ht="30" hidden="false" customHeight="true" outlineLevel="0" collapsed="false">
      <c r="A10" s="8" t="s">
        <v>48</v>
      </c>
      <c r="B10" s="10" t="s">
        <v>49</v>
      </c>
      <c r="C10" s="10" t="s">
        <v>49</v>
      </c>
      <c r="D10" s="11" t="s">
        <v>50</v>
      </c>
    </row>
    <row r="11" customFormat="false" ht="30" hidden="false" customHeight="true" outlineLevel="0" collapsed="false">
      <c r="A11" s="8" t="s">
        <v>51</v>
      </c>
      <c r="B11" s="10" t="s">
        <v>52</v>
      </c>
      <c r="C11" s="10" t="s">
        <v>53</v>
      </c>
      <c r="D11" s="10" t="s">
        <v>53</v>
      </c>
    </row>
    <row r="12" customFormat="false" ht="30" hidden="false" customHeight="true" outlineLevel="0" collapsed="false">
      <c r="A12" s="8" t="s">
        <v>54</v>
      </c>
      <c r="B12" s="9" t="s">
        <v>53</v>
      </c>
      <c r="C12" s="12" t="s">
        <v>53</v>
      </c>
      <c r="D12" s="11" t="s">
        <v>55</v>
      </c>
    </row>
    <row r="13" customFormat="false" ht="30" hidden="false" customHeight="true" outlineLevel="0" collapsed="false">
      <c r="A13" s="8" t="s">
        <v>56</v>
      </c>
      <c r="B13" s="9" t="s">
        <v>53</v>
      </c>
      <c r="C13" s="12" t="s">
        <v>55</v>
      </c>
      <c r="D13" s="11" t="s">
        <v>52</v>
      </c>
    </row>
    <row r="14" customFormat="false" ht="30" hidden="false" customHeight="true" outlineLevel="0" collapsed="false">
      <c r="A14" s="8" t="s">
        <v>57</v>
      </c>
      <c r="B14" s="9" t="s">
        <v>58</v>
      </c>
      <c r="C14" s="9" t="s">
        <v>59</v>
      </c>
      <c r="D14" s="11" t="s">
        <v>60</v>
      </c>
    </row>
  </sheetData>
  <mergeCells count="1">
    <mergeCell ref="A1:D1"/>
  </mergeCells>
  <dataValidations count="4">
    <dataValidation allowBlank="true" errorStyle="stop" operator="between" showDropDown="false" showErrorMessage="false" showInputMessage="false" sqref="B6:D6" type="list">
      <formula1>"groundwater,seawater intrusion,landfill leachate,void,archaeology,other"</formula1>
      <formula2>0</formula2>
    </dataValidation>
    <dataValidation allowBlank="true" errorStyle="stop" operator="between" showDropDown="false" showErrorMessage="false" showInputMessage="false" sqref="B8:D8" type="list">
      <formula1>"resistive,moderate,conductive"</formula1>
      <formula2>0</formula2>
    </dataValidation>
    <dataValidation allowBlank="true" errorStyle="stop" operator="between" showDropDown="false" showErrorMessage="false" showInputMessage="false" sqref="B11:D11" type="list">
      <formula1>"low,moderate,high"</formula1>
      <formula2>0</formula2>
    </dataValidation>
    <dataValidation allowBlank="true" errorStyle="stop" operator="between" showDropDown="false" showErrorMessage="false" showInputMessage="false" sqref="B10:D10" type="list">
      <formula1>"rural,urban,industrial"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F6" activeCellId="0" sqref="F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34"/>
  </cols>
  <sheetData>
    <row r="1" customFormat="false" ht="25.5" hidden="false" customHeight="true" outlineLevel="0" collapsed="false">
      <c r="A1" s="13" t="s">
        <v>61</v>
      </c>
      <c r="B1" s="13"/>
      <c r="C1" s="13"/>
      <c r="D1" s="13"/>
    </row>
    <row r="2" customFormat="false" ht="30" hidden="false" customHeight="true" outlineLevel="0" collapsed="false">
      <c r="A2" s="14" t="s">
        <v>19</v>
      </c>
      <c r="B2" s="14" t="s">
        <v>20</v>
      </c>
      <c r="C2" s="14" t="s">
        <v>21</v>
      </c>
      <c r="D2" s="14" t="s">
        <v>22</v>
      </c>
    </row>
    <row r="3" customFormat="false" ht="30" hidden="false" customHeight="true" outlineLevel="0" collapsed="false">
      <c r="A3" s="8" t="s">
        <v>62</v>
      </c>
      <c r="B3" s="10" t="s">
        <v>63</v>
      </c>
      <c r="C3" s="10" t="s">
        <v>64</v>
      </c>
      <c r="D3" s="10" t="s">
        <v>65</v>
      </c>
    </row>
    <row r="4" customFormat="false" ht="30" hidden="false" customHeight="true" outlineLevel="0" collapsed="false">
      <c r="A4" s="8" t="s">
        <v>66</v>
      </c>
      <c r="B4" s="9" t="s">
        <v>67</v>
      </c>
      <c r="C4" s="9" t="s">
        <v>68</v>
      </c>
      <c r="D4" s="9" t="s">
        <v>69</v>
      </c>
    </row>
    <row r="5" customFormat="false" ht="30" hidden="false" customHeight="true" outlineLevel="0" collapsed="false">
      <c r="A5" s="8" t="s">
        <v>70</v>
      </c>
      <c r="B5" s="9" t="s">
        <v>71</v>
      </c>
      <c r="C5" s="9" t="s">
        <v>72</v>
      </c>
      <c r="D5" s="11" t="s">
        <v>73</v>
      </c>
    </row>
    <row r="6" customFormat="false" ht="30" hidden="false" customHeight="true" outlineLevel="0" collapsed="false">
      <c r="A6" s="8" t="s">
        <v>74</v>
      </c>
      <c r="B6" s="10" t="s">
        <v>75</v>
      </c>
      <c r="C6" s="10" t="s">
        <v>75</v>
      </c>
      <c r="D6" s="10" t="s">
        <v>76</v>
      </c>
    </row>
    <row r="7" customFormat="false" ht="30" hidden="false" customHeight="true" outlineLevel="0" collapsed="false">
      <c r="A7" s="8" t="s">
        <v>77</v>
      </c>
      <c r="B7" s="9" t="s">
        <v>78</v>
      </c>
      <c r="C7" s="9" t="s">
        <v>79</v>
      </c>
      <c r="D7" s="9" t="s">
        <v>80</v>
      </c>
    </row>
    <row r="8" customFormat="false" ht="30" hidden="false" customHeight="true" outlineLevel="0" collapsed="false">
      <c r="A8" s="8" t="s">
        <v>81</v>
      </c>
      <c r="B8" s="9" t="s">
        <v>82</v>
      </c>
      <c r="C8" s="9" t="s">
        <v>83</v>
      </c>
      <c r="D8" s="9" t="s">
        <v>84</v>
      </c>
    </row>
  </sheetData>
  <mergeCells count="1">
    <mergeCell ref="A1:D1"/>
  </mergeCells>
  <dataValidations count="2">
    <dataValidation allowBlank="true" errorStyle="stop" operator="between" showDropDown="false" showErrorMessage="false" showInputMessage="false" sqref="B3:D3" type="list">
      <formula1>"ERT,VES,TDEM,other"</formula1>
      <formula2>0</formula2>
    </dataValidation>
    <dataValidation allowBlank="true" errorStyle="stop" operator="between" showDropDown="false" showErrorMessage="false" showInputMessage="false" sqref="B6:D6" type="list">
      <formula1>"yes,partly,no"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34"/>
  </cols>
  <sheetData>
    <row r="1" customFormat="false" ht="25.5" hidden="false" customHeight="true" outlineLevel="0" collapsed="false">
      <c r="A1" s="1" t="s">
        <v>85</v>
      </c>
      <c r="B1" s="1"/>
      <c r="C1" s="1"/>
      <c r="D1" s="1"/>
    </row>
    <row r="2" customFormat="false" ht="30" hidden="false" customHeight="true" outlineLevel="0" collapsed="false">
      <c r="A2" s="15" t="s">
        <v>19</v>
      </c>
      <c r="B2" s="15" t="s">
        <v>20</v>
      </c>
      <c r="C2" s="15" t="s">
        <v>21</v>
      </c>
      <c r="D2" s="15" t="s">
        <v>22</v>
      </c>
    </row>
    <row r="3" customFormat="false" ht="30" hidden="false" customHeight="true" outlineLevel="0" collapsed="false">
      <c r="A3" s="8" t="s">
        <v>86</v>
      </c>
      <c r="B3" s="9" t="s">
        <v>87</v>
      </c>
      <c r="C3" s="9" t="s">
        <v>88</v>
      </c>
      <c r="D3" s="9" t="s">
        <v>89</v>
      </c>
    </row>
    <row r="4" customFormat="false" ht="48" hidden="false" customHeight="true" outlineLevel="0" collapsed="false">
      <c r="A4" s="8" t="s">
        <v>90</v>
      </c>
      <c r="B4" s="9" t="s">
        <v>91</v>
      </c>
      <c r="C4" s="9" t="s">
        <v>92</v>
      </c>
      <c r="D4" s="9" t="s">
        <v>93</v>
      </c>
    </row>
    <row r="5" customFormat="false" ht="30" hidden="false" customHeight="true" outlineLevel="0" collapsed="false">
      <c r="A5" s="8" t="s">
        <v>94</v>
      </c>
      <c r="B5" s="9" t="s">
        <v>95</v>
      </c>
      <c r="C5" s="9" t="s">
        <v>96</v>
      </c>
      <c r="D5" s="9" t="s">
        <v>97</v>
      </c>
    </row>
    <row r="6" customFormat="false" ht="30" hidden="false" customHeight="true" outlineLevel="0" collapsed="false">
      <c r="A6" s="8" t="s">
        <v>98</v>
      </c>
      <c r="B6" s="9" t="s">
        <v>99</v>
      </c>
      <c r="C6" s="9" t="s">
        <v>100</v>
      </c>
      <c r="D6" s="9" t="s">
        <v>101</v>
      </c>
    </row>
    <row r="7" customFormat="false" ht="39.75" hidden="false" customHeight="true" outlineLevel="0" collapsed="false">
      <c r="A7" s="8" t="s">
        <v>102</v>
      </c>
      <c r="B7" s="9" t="s">
        <v>103</v>
      </c>
      <c r="C7" s="9" t="s">
        <v>104</v>
      </c>
      <c r="D7" s="9" t="s">
        <v>105</v>
      </c>
    </row>
    <row r="8" customFormat="false" ht="30" hidden="false" customHeight="true" outlineLevel="0" collapsed="false">
      <c r="A8" s="8" t="s">
        <v>106</v>
      </c>
      <c r="B8" s="10" t="s">
        <v>107</v>
      </c>
      <c r="C8" s="10" t="s">
        <v>108</v>
      </c>
      <c r="D8" s="10" t="s">
        <v>107</v>
      </c>
    </row>
    <row r="9" customFormat="false" ht="51.75" hidden="false" customHeight="true" outlineLevel="0" collapsed="false">
      <c r="A9" s="8" t="s">
        <v>109</v>
      </c>
      <c r="B9" s="9" t="s">
        <v>110</v>
      </c>
      <c r="C9" s="10" t="s">
        <v>111</v>
      </c>
      <c r="D9" s="10" t="s">
        <v>112</v>
      </c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B8:D8" type="list">
      <formula1>"fresh,brackish,saline,contaminated"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2026-06-25T10:03:44Z</dcterms:created>
  <dc:creator>openpyxl</dc:creator>
  <dc:description/>
  <dc:language>en-US</dc:language>
  <cp:lastModifiedBy> Mahmoud ELWAHEIDI</cp:lastModifiedBy>
  <dcterms:modified xsi:type="dcterms:W3CDTF">2026-06-25T18:03:27Z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